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guel García Moreno\Desktop\Excel\"/>
    </mc:Choice>
  </mc:AlternateContent>
  <xr:revisionPtr revIDLastSave="0" documentId="8_{86ED1E41-567B-44B9-A92E-C760F6C95476}" xr6:coauthVersionLast="47" xr6:coauthVersionMax="47" xr10:uidLastSave="{00000000-0000-0000-0000-000000000000}"/>
  <bookViews>
    <workbookView xWindow="-120" yWindow="-120" windowWidth="19440" windowHeight="11040" xr2:uid="{7AE94AFF-71F7-4098-A07A-17563C6CC23F}"/>
  </bookViews>
  <sheets>
    <sheet name="Graphics" sheetId="4" r:id="rId1"/>
    <sheet name="Home" sheetId="1" r:id="rId2"/>
    <sheet name="Data" sheetId="2" r:id="rId3"/>
    <sheet name="Prices" sheetId="3" r:id="rId4"/>
  </sheets>
  <definedNames>
    <definedName name="_xlnm._FilterDatabase" localSheetId="1" hidden="1">Home!$G$16:$G$17</definedName>
  </definedNames>
  <calcPr calcId="191029"/>
  <pivotCaches>
    <pivotCache cacheId="3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G2" i="2"/>
  <c r="O1" i="3" a="1"/>
  <c r="O1" i="3" s="1"/>
  <c r="M1" i="3" a="1"/>
  <c r="M1" i="3" s="1"/>
  <c r="F3" i="2"/>
  <c r="G3" i="2"/>
  <c r="K5" i="3" l="1"/>
  <c r="K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<sst xmlns="http://schemas.openxmlformats.org/spreadsheetml/2006/main" count="46" uniqueCount="24">
  <si>
    <t>Class' date</t>
  </si>
  <si>
    <t>Start time</t>
  </si>
  <si>
    <t>End time</t>
  </si>
  <si>
    <t>Student</t>
  </si>
  <si>
    <t>Name</t>
  </si>
  <si>
    <t>Price</t>
  </si>
  <si>
    <t>Victor</t>
  </si>
  <si>
    <t>Juan</t>
  </si>
  <si>
    <t>Omar</t>
  </si>
  <si>
    <t>Bill</t>
  </si>
  <si>
    <t>class' date</t>
  </si>
  <si>
    <t>No</t>
  </si>
  <si>
    <t>Paid</t>
  </si>
  <si>
    <t xml:space="preserve">Paid </t>
  </si>
  <si>
    <t>Sí</t>
  </si>
  <si>
    <t>Times</t>
  </si>
  <si>
    <t>Grand Total</t>
  </si>
  <si>
    <t>Sum of Bill</t>
  </si>
  <si>
    <t>Search help column</t>
  </si>
  <si>
    <t>Row number for update</t>
  </si>
  <si>
    <t>Row number for deleting</t>
  </si>
  <si>
    <t>NEW LESSONS</t>
  </si>
  <si>
    <t>UPDATE ON PAYMENTS</t>
  </si>
  <si>
    <t>DELETE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</si>
</sst>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\ &quot;€&quot;"/>
  </numFmts>
  <fonts count="2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0">
    <xf numFmtId="0" fontId="0" fillId="0" borderId="0" xfId="0"/>
    <xf numFmtId="20" fontId="0" fillId="0" borderId="0" xfId="0" applyNumberFormat="1"/>
    <xf numFmtId="0" fontId="0" fillId="2" borderId="0" xfId="0" applyFill="1"/>
    <xf numFmtId="0" fontId="0" fillId="2" borderId="1" xfId="0" applyFill="1" applyBorder="1"/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1" xfId="0" applyBorder="1"/>
    <xf numFmtId="20" fontId="0" fillId="0" borderId="1" xfId="0" applyNumberFormat="1" applyBorder="1"/>
    <xf numFmtId="1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 indent="1"/>
    </xf>
    <xf numFmtId="14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2" xfId="0" applyBorder="1"/>
    <xf numFmtId="0" fontId="0" fillId="0" borderId="3" xfId="0" applyBorder="1"/>
    <xf numFmtId="14" fontId="0" fillId="0" borderId="3" xfId="0" applyNumberFormat="1" applyBorder="1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3" xfId="0" applyNumberFormat="1" applyBorder="1"/>
    <xf numFmtId="0" fontId="0" fillId="0" borderId="4" xfId="0" applyBorder="1"/>
  </cellXfs>
  <cellStyles count="1">
    <cellStyle name="Normal" xfId="0" builtinId="0"/>
  </cellStyles>
  <dxfs count="30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25" formatCode="h:mm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1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pivotCacheDefinition" Target="pivotCache/pivotCacheDefinition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[Lessons' book.xlsm]Graphics!PivotTable1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Graphics!$B$3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Graphics!$A$4:$A$7</c:f>
              <c:strCache>
                <c:ptCount val="3"/>
                <c:pt idx="0">
                  <c:v>Juan</c:v>
                </c:pt>
                <c:pt idx="1">
                  <c:v>Omar</c:v>
                </c:pt>
                <c:pt idx="2">
                  <c:v>Victor</c:v>
                </c:pt>
              </c:strCache>
            </c:strRef>
          </c:cat>
          <c:val>
            <c:numRef>
              <c:f>Graphics!$B$4:$B$7</c:f>
              <c:numCache>
                <c:formatCode>General</c:formatCode>
                <c:ptCount val="3"/>
                <c:pt idx="0">
                  <c:v>16.000000000000114</c:v>
                </c:pt>
                <c:pt idx="1">
                  <c:v>0</c:v>
                </c:pt>
                <c:pt idx="2">
                  <c:v>35.999999999999851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9-4522-91EE-703443FAB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44979256"/>
        <c:axId val="444976736"/>
      </c:barChart>
      <c:catAx>
        <c:axId val="44497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4976736"/>
        <c:crosses val="autoZero"/>
        <c:auto val="1"/>
        <c:lblAlgn val="ctr"/>
        <c:lblOffset val="100"/>
        <c:noMultiLvlLbl val="0"/>
      </c:catAx>
      <c:valAx>
        <c:axId val="4449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4979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28575</xdr:rowOff>
    </xdr:from>
    <xdr:to>
      <xdr:col>10</xdr:col>
      <xdr:colOff>314325</xdr:colOff>
      <xdr:row>16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FA0C0A-8230-50C6-A25F-A81F352C6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342900</xdr:colOff>
      <xdr:row>8</xdr:row>
      <xdr:rowOff>57150</xdr:rowOff>
    </xdr:from>
    <xdr:to>
      <xdr:col>10</xdr:col>
      <xdr:colOff>295275</xdr:colOff>
      <xdr:row>11</xdr:row>
      <xdr:rowOff>47625</xdr:rowOff>
    </xdr:to>
    <xdr:pic macro="[0]!Record_data">
      <xdr:nvPicPr>
        <xdr:cNvPr id="2" name="Graphic 1" descr="Record data">
          <a:extLst>
            <a:ext uri="{FF2B5EF4-FFF2-40B4-BE49-F238E27FC236}">
              <a16:creationId xmlns:a16="http://schemas.microsoft.com/office/drawing/2014/main" id="{3A593B61-769E-BF59-48D0-287E7A844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6162675" y="1581150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9</xdr:col>
      <xdr:colOff>333375</xdr:colOff>
      <xdr:row>17</xdr:row>
      <xdr:rowOff>57150</xdr:rowOff>
    </xdr:from>
    <xdr:to>
      <xdr:col>10</xdr:col>
      <xdr:colOff>333375</xdr:colOff>
      <xdr:row>20</xdr:row>
      <xdr:rowOff>95250</xdr:rowOff>
    </xdr:to>
    <xdr:pic macro="[0]!Update_macro">
      <xdr:nvPicPr>
        <xdr:cNvPr id="5" name="Graphic 4" descr="Update payment&#10;">
          <a:extLst>
            <a:ext uri="{FF2B5EF4-FFF2-40B4-BE49-F238E27FC236}">
              <a16:creationId xmlns:a16="http://schemas.microsoft.com/office/drawing/2014/main" id="{2C4E1A92-D552-4452-7EF7-FFD92CF7A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38875" y="3295650"/>
          <a:ext cx="609600" cy="609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161925</xdr:rowOff>
        </xdr:from>
        <xdr:to>
          <xdr:col>10</xdr:col>
          <xdr:colOff>257175</xdr:colOff>
          <xdr:row>26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581026</xdr:colOff>
          <xdr:row>0</xdr:row>
          <xdr:rowOff>114300</xdr:rowOff>
        </xdr:from>
        <xdr:to>
          <xdr:col>10</xdr:col>
          <xdr:colOff>342901</xdr:colOff>
          <xdr:row>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 cells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Windows User" refreshedDate="45575.774315393515" createdVersion="8" refreshedVersion="8" minRefreshableVersion="3" recordCount="4" xr:uid="{57874F19-70BC-44FE-B834-5F4DC51F1AA9}">
  <cacheSource type="worksheet">
    <worksheetSource name="DataTable"/>
  </cacheSource>
  <cacheFields count="7">
    <cacheField name="Student" numFmtId="49">
      <sharedItems containsBlank="1" count="4">
        <s v="Victor"/>
        <s v="Omar"/>
        <m/>
        <s v="Juan"/>
      </sharedItems>
    </cacheField>
    <cacheField name="Class' date" numFmtId="14">
      <sharedItems containsNonDate="0" containsDate="1" containsString="0" containsBlank="1" minDate="2024-10-08T00:00:00" maxDate="2025-10-17T00:00:00" count="9">
        <d v="2024-10-12T00:00:00"/>
        <d v="2024-10-10T00:00:00"/>
        <m/>
        <d v="2024-10-08T00:00:00" u="1"/>
        <d v="2024-11-08T00:00:00" u="1"/>
        <d v="2024-10-09T00:00:00" u="1"/>
        <d v="2024-10-16T00:00:00" u="1"/>
        <d v="2024-11-16T00:00:00" u="1"/>
        <d v="2025-10-16T00:00:00" u="1"/>
      </sharedItems>
    </cacheField>
    <cacheField name="Start time" numFmtId="0">
      <sharedItems containsNonDate="0" containsDate="1" containsString="0" containsBlank="1" minDate="1899-12-30T10:00:00" maxDate="1899-12-30T19:15:00"/>
    </cacheField>
    <cacheField name="End time" numFmtId="0">
      <sharedItems containsNonDate="0" containsDate="1" containsString="0" containsBlank="1" minDate="1899-12-30T12:00:00" maxDate="1899-12-30T20:15:00"/>
    </cacheField>
    <cacheField name="Paid" numFmtId="0">
      <sharedItems containsBlank="1" count="3">
        <s v="No"/>
        <m/>
        <s v="Sí" u="1"/>
      </sharedItems>
    </cacheField>
    <cacheField name="Bill" numFmtId="165">
      <sharedItems containsMixedTypes="1" containsNumber="1" minValue="0" maxValue="35.999999999999851" count="4">
        <n v="35.999999999999851"/>
        <n v="0"/>
        <e v="#N/A"/>
        <n v="16.000000000000114"/>
      </sharedItems>
    </cacheField>
    <cacheField name="Search help colum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d v="1899-12-30T10:00:00"/>
    <d v="1899-12-30T12:00:00"/>
    <x v="0"/>
    <x v="0"/>
    <s v="Victor/45577"/>
  </r>
  <r>
    <x v="1"/>
    <x v="1"/>
    <m/>
    <m/>
    <x v="1"/>
    <x v="1"/>
    <s v="Omar/45575"/>
  </r>
  <r>
    <x v="2"/>
    <x v="2"/>
    <m/>
    <m/>
    <x v="1"/>
    <x v="2"/>
    <s v="/"/>
  </r>
  <r>
    <x v="3"/>
    <x v="1"/>
    <d v="1899-12-30T19:15:00"/>
    <d v="1899-12-30T20:15:00"/>
    <x v="0"/>
    <x v="3"/>
    <s v="Juan/455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8F6330-A9F9-4E13-B491-12D8980BCCB4}" name="PivotTable1" cacheId="38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outline="1" outlineData="1" multipleFieldFilters="0" chartFormat="2">
  <location ref="A3:B7" firstHeaderRow="1" firstDataRow="1" firstDataCol="1"/>
  <pivotFields count="7">
    <pivotField axis="axisRow" multipleItemSelectionAllowed="1"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/>
    <pivotField showAll="0"/>
    <pivotField dataField="1" showAll="0">
      <items count="5">
        <item x="1"/>
        <item x="3"/>
        <item x="0"/>
        <item x="2"/>
        <item t="default"/>
      </items>
    </pivotField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Bill" fld="5" baseField="0" baseItem="0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0" type="button" dataOnly="0" labelOnly="1" outline="0" axis="axisRow" fieldPosition="0"/>
    </format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7076B1-EB6F-4C00-9699-0619787EF892}" name="PivotTable1" cacheId="38" applyNumberFormats="0" applyBorderFormats="0" applyFontFormats="0" applyPatternFormats="0" applyAlignmentFormats="0" applyWidthHeightFormats="1" dataCaption="Values" missingCaption="0" updatedVersion="8" minRefreshableVersion="3" useAutoFormatting="1" colGrandTotals="0" itemPrintTitles="1" createdVersion="8" indent="0" showHeaders="0" outline="1" outlineData="1" multipleFieldFilters="0" chartFormat="1">
  <location ref="N11:O16" firstHeaderRow="1" firstDataRow="1" firstDataCol="1" rowPageCount="1" colPageCount="1"/>
  <pivotFields count="7">
    <pivotField axis="axisRow" showAll="0">
      <items count="5">
        <item x="3"/>
        <item x="1"/>
        <item x="0"/>
        <item x="2"/>
        <item t="default"/>
      </items>
    </pivotField>
    <pivotField axis="axisRow" numFmtId="14" showAll="0">
      <items count="10">
        <item m="1" x="3"/>
        <item x="1"/>
        <item m="1" x="6"/>
        <item m="1" x="7"/>
        <item m="1" x="8"/>
        <item m="1" x="4"/>
        <item m="1" x="5"/>
        <item x="0"/>
        <item x="2"/>
        <item t="default"/>
      </items>
    </pivotField>
    <pivotField showAll="0"/>
    <pivotField showAll="0"/>
    <pivotField axis="axisPage" showAll="0">
      <items count="4">
        <item x="0"/>
        <item m="1" x="2"/>
        <item x="1"/>
        <item t="default"/>
      </items>
    </pivotField>
    <pivotField dataField="1" showAll="0"/>
    <pivotField showAll="0"/>
  </pivotFields>
  <rowFields count="2">
    <field x="0"/>
    <field x="1"/>
  </rowFields>
  <rowItems count="5">
    <i>
      <x/>
    </i>
    <i r="1">
      <x v="1"/>
    </i>
    <i>
      <x v="2"/>
    </i>
    <i r="1">
      <x v="7"/>
    </i>
    <i t="grand">
      <x/>
    </i>
  </rowItems>
  <colItems count="1">
    <i/>
  </colItems>
  <pageFields count="1">
    <pageField fld="4" item="0" hier="-1"/>
  </pageFields>
  <dataFields count="1">
    <dataField name="Sum of Bil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49E14B-C971-4325-AC34-A7E045706498}" name="DataTable" displayName="DataTable" ref="A1:G3" totalsRowShown="0" headerRowDxfId="29" dataDxfId="28">
  <autoFilter ref="A1:G3" xr:uid="{6049E14B-C971-4325-AC34-A7E04570649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3C1BC0A-627D-485D-B826-95F8949B695A}" name="Student" dataDxfId="27"/>
    <tableColumn id="2" xr3:uid="{2CACB254-E2CD-49EC-B06D-4AF7F374B112}" name="Class' date" dataDxfId="26"/>
    <tableColumn id="3" xr3:uid="{188B6021-A305-4C78-98C6-2BA30F228C85}" name="Start time" dataDxfId="25"/>
    <tableColumn id="4" xr3:uid="{89494B75-DB09-4C8C-938F-853D419C16D0}" name="End time" dataDxfId="24"/>
    <tableColumn id="5" xr3:uid="{84F195EC-DD37-4D26-B7E7-CD40A465E43D}" name="Paid" dataDxfId="23"/>
    <tableColumn id="6" xr3:uid="{26145B49-5F52-4491-A785-1DCDC6591FA0}" name="Bill" dataDxfId="22">
      <calculatedColumnFormula>VLOOKUP(DataTable[[#This Row],[Student]],PricesTable[#All],2,FALSE)*(DataTable[[#This Row],[End time]]-DataTable[[#This Row],[Start time]])*24</calculatedColumnFormula>
    </tableColumn>
    <tableColumn id="7" xr3:uid="{9A7F5915-40F4-4093-9735-EE0A43A87E78}" name="Search help column" dataDxfId="21">
      <calculatedColumnFormula>DataTable[[#This Row],[Student]]&amp;"/"&amp;DataTable[[#This Row],[Class'' date]]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5DA30A-211B-45E8-B959-31C3A469345D}" name="PricesTable" displayName="PricesTable" ref="A1:B4" totalsRowShown="0">
  <autoFilter ref="A1:B4" xr:uid="{DC5DA30A-211B-45E8-B959-31C3A469345D}">
    <filterColumn colId="0" hiddenButton="1"/>
    <filterColumn colId="1" hiddenButton="1"/>
  </autoFilter>
  <tableColumns count="2">
    <tableColumn id="1" xr3:uid="{1351E0AF-9537-4FC1-975C-48620CE69F1D}" name="Name" dataDxfId="20"/>
    <tableColumn id="2" xr3:uid="{8F73CE9C-1A84-4EAF-9A4E-A7E7E0218B14}" name="Pri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3F35BC-1E73-48D0-9EA4-FCD3D11021AB}" name="BoolList" displayName="BoolList" ref="F1:F3" totalsRowShown="0">
  <autoFilter ref="F1:F3" xr:uid="{F13F35BC-1E73-48D0-9EA4-FCD3D11021AB}">
    <filterColumn colId="0" hiddenButton="1"/>
  </autoFilter>
  <tableColumns count="1">
    <tableColumn id="1" xr3:uid="{2DA88BA3-8A3E-49D5-997A-18640C96FA0E}" name="Paid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01D328-2113-4F6E-ACED-3D8C0AA9B413}" name="TimeList" displayName="TimeList" ref="H1:H54" totalsRowShown="0">
  <autoFilter ref="H1:H54" xr:uid="{0301D328-2113-4F6E-ACED-3D8C0AA9B413}">
    <filterColumn colId="0" hiddenButton="1"/>
  </autoFilter>
  <tableColumns count="1">
    <tableColumn id="1" xr3:uid="{7D88E6E3-D06C-4A53-AE9A-AD9D32B10259}" name="Times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6188C-F81B-4138-B09A-BBA8EE606C03}">
  <sheetPr codeName="Sheet4"/>
  <dimension ref="A1:S25"/>
  <sheetViews>
    <sheetView tabSelected="1" workbookViewId="0">
      <selection activeCell="M13" sqref="M13"/>
    </sheetView>
  </sheetViews>
  <sheetFormatPr defaultRowHeight="15" x14ac:dyDescent="0.25"/>
  <cols>
    <col min="1" max="1" width="11.28515625" bestFit="1" customWidth="1"/>
    <col min="2" max="2" width="10.5703125" bestFit="1" customWidth="1"/>
  </cols>
  <sheetData>
    <row r="1" spans="1:19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9"/>
      <c r="N1" s="22"/>
      <c r="O1" s="22"/>
      <c r="P1" s="22"/>
      <c r="Q1" s="22"/>
      <c r="R1" s="22"/>
      <c r="S1" s="22"/>
    </row>
    <row r="2" spans="1:19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9"/>
      <c r="N2" s="22"/>
      <c r="O2" s="22"/>
      <c r="P2" s="22"/>
      <c r="Q2" s="22"/>
      <c r="R2" s="22"/>
      <c r="S2" s="22"/>
    </row>
    <row r="3" spans="1:19" x14ac:dyDescent="0.25">
      <c r="A3" s="22"/>
      <c r="B3" s="22" t="s">
        <v>17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9"/>
      <c r="N3" s="22"/>
      <c r="O3" s="22"/>
      <c r="P3" s="22"/>
      <c r="Q3" s="22"/>
      <c r="R3" s="22"/>
      <c r="S3" s="22"/>
    </row>
    <row r="4" spans="1:19" x14ac:dyDescent="0.25">
      <c r="A4" s="27" t="s">
        <v>7</v>
      </c>
      <c r="B4" s="28">
        <v>16.000000000000114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9"/>
      <c r="N4" s="22"/>
      <c r="O4" s="22"/>
      <c r="P4" s="22"/>
      <c r="Q4" s="22"/>
      <c r="R4" s="22"/>
      <c r="S4" s="22"/>
    </row>
    <row r="5" spans="1:19" x14ac:dyDescent="0.25">
      <c r="A5" s="27" t="s">
        <v>8</v>
      </c>
      <c r="B5" s="28">
        <v>0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9"/>
      <c r="N5" s="22"/>
      <c r="O5" s="22"/>
      <c r="P5" s="22"/>
      <c r="Q5" s="22"/>
      <c r="R5" s="22"/>
      <c r="S5" s="22"/>
    </row>
    <row r="6" spans="1:19" x14ac:dyDescent="0.25">
      <c r="A6" s="27" t="s">
        <v>6</v>
      </c>
      <c r="B6" s="28">
        <v>35.999999999999851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9"/>
      <c r="N6" s="22"/>
      <c r="O6" s="22"/>
      <c r="P6" s="22"/>
      <c r="Q6" s="22"/>
      <c r="R6" s="22"/>
      <c r="S6" s="22"/>
    </row>
    <row r="7" spans="1:19" x14ac:dyDescent="0.25">
      <c r="A7" s="27" t="s">
        <v>16</v>
      </c>
      <c r="B7" s="28">
        <v>51.999999999999964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9"/>
      <c r="N7" s="22"/>
      <c r="O7" s="22"/>
      <c r="P7" s="22"/>
      <c r="Q7" s="22"/>
      <c r="R7" s="22"/>
      <c r="S7" s="22"/>
    </row>
    <row r="8" spans="1:19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9"/>
      <c r="N8" s="22"/>
      <c r="O8" s="22"/>
      <c r="P8" s="22"/>
      <c r="Q8" s="22"/>
      <c r="R8" s="22"/>
      <c r="S8" s="22"/>
    </row>
    <row r="9" spans="1:19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9"/>
      <c r="N9" s="22"/>
      <c r="O9" s="22"/>
      <c r="P9" s="22"/>
      <c r="Q9" s="22"/>
      <c r="R9" s="22"/>
      <c r="S9" s="22"/>
    </row>
    <row r="10" spans="1:19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9"/>
      <c r="N10" s="22"/>
      <c r="O10" s="22"/>
      <c r="P10" s="22"/>
      <c r="Q10" s="22"/>
      <c r="R10" s="22"/>
      <c r="S10" s="22"/>
    </row>
    <row r="11" spans="1:19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9"/>
      <c r="N11" s="22"/>
      <c r="O11" s="22"/>
      <c r="P11" s="22"/>
      <c r="Q11" s="22"/>
      <c r="R11" s="22"/>
      <c r="S11" s="22"/>
    </row>
    <row r="12" spans="1:19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9"/>
      <c r="N12" s="22"/>
      <c r="O12" s="22"/>
      <c r="P12" s="22"/>
      <c r="Q12" s="22"/>
      <c r="R12" s="22"/>
      <c r="S12" s="22"/>
    </row>
    <row r="13" spans="1:19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9"/>
      <c r="N13" s="22"/>
      <c r="O13" s="22"/>
      <c r="P13" s="22"/>
      <c r="Q13" s="22"/>
      <c r="R13" s="22"/>
      <c r="S13" s="22"/>
    </row>
    <row r="14" spans="1:19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9"/>
      <c r="N14" s="22"/>
      <c r="O14" s="22"/>
      <c r="P14" s="22"/>
      <c r="Q14" s="22"/>
      <c r="R14" s="22"/>
      <c r="S14" s="22"/>
    </row>
    <row r="15" spans="1:19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9"/>
      <c r="N15" s="22"/>
      <c r="O15" s="22"/>
      <c r="P15" s="22"/>
      <c r="Q15" s="22"/>
      <c r="R15" s="22"/>
      <c r="S15" s="22"/>
    </row>
    <row r="16" spans="1:19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9"/>
      <c r="N16" s="22"/>
      <c r="O16" s="22"/>
      <c r="P16" s="22"/>
      <c r="Q16" s="22"/>
      <c r="R16" s="22"/>
      <c r="S16" s="22"/>
    </row>
    <row r="17" spans="1:19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9"/>
      <c r="N17" s="22"/>
      <c r="O17" s="22"/>
      <c r="P17" s="22"/>
      <c r="Q17" s="22"/>
      <c r="R17" s="22"/>
      <c r="S17" s="22"/>
    </row>
    <row r="18" spans="1:19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9"/>
      <c r="N18" s="22"/>
      <c r="O18" s="22"/>
      <c r="P18" s="22"/>
      <c r="Q18" s="22"/>
      <c r="R18" s="22"/>
      <c r="S18" s="22"/>
    </row>
    <row r="19" spans="1:19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9"/>
      <c r="N19" s="22"/>
      <c r="O19" s="22"/>
      <c r="P19" s="22"/>
      <c r="Q19" s="22"/>
      <c r="R19" s="22"/>
      <c r="S19" s="22"/>
    </row>
    <row r="20" spans="1:19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9"/>
      <c r="N20" s="22"/>
      <c r="O20" s="22"/>
      <c r="P20" s="22"/>
      <c r="Q20" s="22"/>
      <c r="R20" s="22"/>
      <c r="S20" s="22"/>
    </row>
    <row r="21" spans="1:19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9"/>
      <c r="N21" s="22"/>
      <c r="O21" s="22"/>
      <c r="P21" s="22"/>
      <c r="Q21" s="22"/>
      <c r="R21" s="22"/>
      <c r="S21" s="22"/>
    </row>
    <row r="22" spans="1:19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9"/>
      <c r="N22" s="22"/>
      <c r="O22" s="22"/>
      <c r="P22" s="22"/>
      <c r="Q22" s="22"/>
      <c r="R22" s="22"/>
      <c r="S22" s="22"/>
    </row>
    <row r="23" spans="1:19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9"/>
      <c r="N23" s="22"/>
      <c r="O23" s="22"/>
      <c r="P23" s="22"/>
      <c r="Q23" s="22"/>
      <c r="R23" s="22"/>
      <c r="S23" s="22"/>
    </row>
    <row r="24" spans="1:19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9"/>
      <c r="N24" s="22"/>
      <c r="O24" s="22"/>
      <c r="P24" s="22"/>
      <c r="Q24" s="22"/>
      <c r="R24" s="22"/>
      <c r="S24" s="22"/>
    </row>
    <row r="25" spans="1:19" x14ac:dyDescent="0.25">
      <c r="N25" s="22"/>
      <c r="O25" s="22"/>
      <c r="P25" s="22"/>
      <c r="Q25" s="22"/>
      <c r="R25" s="22"/>
      <c r="S25" s="22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29F6B-C4FC-43DE-9971-EF097B9CE736}">
  <sheetPr codeName="Sheet1"/>
  <dimension ref="A1:T40"/>
  <sheetViews>
    <sheetView workbookViewId="0">
      <selection activeCell="L15" sqref="L15"/>
    </sheetView>
  </sheetViews>
  <sheetFormatPr defaultRowHeight="15" x14ac:dyDescent="0.25"/>
  <cols>
    <col min="1" max="1" width="10.42578125" bestFit="1" customWidth="1"/>
    <col min="5" max="5" width="10.42578125" bestFit="1" customWidth="1"/>
    <col min="6" max="6" width="9.5703125" customWidth="1"/>
    <col min="7" max="7" width="15" bestFit="1" customWidth="1"/>
    <col min="9" max="9" width="9.28515625" bestFit="1" customWidth="1"/>
    <col min="11" max="11" width="8.5703125" bestFit="1" customWidth="1"/>
    <col min="14" max="14" width="14.140625" bestFit="1" customWidth="1"/>
    <col min="15" max="15" width="10.5703125" bestFit="1" customWidth="1"/>
    <col min="16" max="16" width="7" customWidth="1"/>
    <col min="17" max="17" width="11.28515625" bestFit="1" customWidth="1"/>
  </cols>
  <sheetData>
    <row r="1" spans="1:20" x14ac:dyDescent="0.25">
      <c r="A1" s="22"/>
      <c r="B1" s="22"/>
      <c r="C1" s="2"/>
      <c r="D1" s="2"/>
      <c r="E1" s="2"/>
      <c r="F1" s="2"/>
      <c r="G1" s="2"/>
      <c r="H1" s="2"/>
      <c r="I1" s="2"/>
      <c r="J1" s="2"/>
      <c r="K1" s="2"/>
      <c r="L1" s="22"/>
      <c r="M1" s="22"/>
      <c r="N1" s="22"/>
      <c r="O1" s="22"/>
      <c r="P1" s="22"/>
      <c r="Q1" s="22"/>
      <c r="R1" s="22"/>
      <c r="S1" s="22"/>
      <c r="T1" s="22"/>
    </row>
    <row r="2" spans="1:20" x14ac:dyDescent="0.25">
      <c r="A2" s="22"/>
      <c r="B2" s="22"/>
      <c r="C2" s="2"/>
      <c r="D2" s="2"/>
      <c r="E2" s="2"/>
      <c r="F2" s="2"/>
      <c r="G2" s="2"/>
      <c r="H2" s="2"/>
      <c r="I2" s="2"/>
      <c r="J2" s="2"/>
      <c r="K2" s="2"/>
      <c r="L2" s="22"/>
      <c r="M2" s="22"/>
      <c r="N2" s="22"/>
      <c r="O2" s="22"/>
      <c r="P2" s="22"/>
      <c r="Q2" s="22"/>
      <c r="R2" s="22"/>
      <c r="S2" s="22"/>
      <c r="T2" s="22"/>
    </row>
    <row r="3" spans="1:20" ht="15.75" x14ac:dyDescent="0.25">
      <c r="A3" s="22"/>
      <c r="B3" s="22"/>
      <c r="C3" s="2"/>
      <c r="D3" s="2"/>
      <c r="E3" s="2"/>
      <c r="F3" s="24"/>
      <c r="G3" s="25" t="s">
        <v>21</v>
      </c>
      <c r="H3" s="2"/>
      <c r="I3" s="2"/>
      <c r="J3" s="2"/>
      <c r="K3" s="2"/>
      <c r="L3" s="22"/>
      <c r="M3" s="22"/>
      <c r="N3" s="22"/>
      <c r="O3" s="22"/>
      <c r="P3" s="22"/>
      <c r="Q3" s="22"/>
      <c r="R3" s="22"/>
      <c r="S3" s="22"/>
      <c r="T3" s="22"/>
    </row>
    <row r="4" spans="1:20" x14ac:dyDescent="0.25">
      <c r="A4" s="22"/>
      <c r="B4" s="22"/>
      <c r="C4" s="2"/>
      <c r="D4" s="2"/>
      <c r="E4" s="2"/>
      <c r="F4" s="2"/>
      <c r="G4" s="2"/>
      <c r="H4" s="2"/>
      <c r="I4" s="2"/>
      <c r="J4" s="2"/>
      <c r="K4" s="2"/>
      <c r="L4" s="22"/>
      <c r="M4" s="22"/>
      <c r="N4" s="22"/>
      <c r="O4" s="22"/>
      <c r="P4" s="22"/>
      <c r="Q4" s="22"/>
      <c r="R4" s="22"/>
      <c r="S4" s="22"/>
      <c r="T4" s="22"/>
    </row>
    <row r="5" spans="1:20" x14ac:dyDescent="0.25">
      <c r="A5" s="22"/>
      <c r="B5" s="22"/>
      <c r="C5" s="2"/>
      <c r="D5" s="2"/>
      <c r="E5" s="2"/>
      <c r="F5" s="2"/>
      <c r="G5" s="2"/>
      <c r="H5" s="2"/>
      <c r="I5" s="2"/>
      <c r="J5" s="2"/>
      <c r="K5" s="2"/>
      <c r="L5" s="22"/>
      <c r="M5" s="22"/>
      <c r="N5" s="22"/>
      <c r="O5" s="22"/>
      <c r="P5" s="22"/>
      <c r="Q5" s="22"/>
      <c r="R5" s="22"/>
      <c r="S5" s="22"/>
      <c r="T5" s="22"/>
    </row>
    <row r="6" spans="1:20" x14ac:dyDescent="0.25">
      <c r="A6" s="22"/>
      <c r="B6" s="22"/>
      <c r="C6" s="2"/>
      <c r="D6" s="2"/>
      <c r="E6" s="3" t="s">
        <v>3</v>
      </c>
      <c r="F6" s="2"/>
      <c r="G6" s="3" t="s">
        <v>10</v>
      </c>
      <c r="H6" s="2"/>
      <c r="I6" s="3" t="s">
        <v>12</v>
      </c>
      <c r="J6" s="2"/>
      <c r="K6" s="2"/>
      <c r="L6" s="22"/>
      <c r="M6" s="22"/>
      <c r="N6" s="22"/>
      <c r="O6" s="22"/>
      <c r="P6" s="22"/>
      <c r="Q6" s="22"/>
      <c r="R6" s="22"/>
      <c r="S6" s="22"/>
      <c r="T6" s="22"/>
    </row>
    <row r="7" spans="1:20" x14ac:dyDescent="0.25">
      <c r="A7" s="22"/>
      <c r="B7" s="22"/>
      <c r="C7" s="2"/>
      <c r="D7" s="2"/>
      <c r="E7" s="12"/>
      <c r="F7" s="2"/>
      <c r="G7" s="14"/>
      <c r="H7" s="2"/>
      <c r="I7" s="12"/>
      <c r="J7" s="2"/>
      <c r="K7" s="2"/>
      <c r="L7" s="22"/>
      <c r="M7" s="22"/>
      <c r="N7" s="22"/>
      <c r="O7" s="22"/>
      <c r="P7" s="22"/>
      <c r="Q7" s="22"/>
      <c r="R7" s="22"/>
      <c r="S7" s="22"/>
      <c r="T7" s="22"/>
    </row>
    <row r="8" spans="1:20" x14ac:dyDescent="0.25">
      <c r="A8" s="22"/>
      <c r="B8" s="22"/>
      <c r="C8" s="2"/>
      <c r="D8" s="2"/>
      <c r="E8" s="2"/>
      <c r="F8" s="2"/>
      <c r="G8" s="2"/>
      <c r="H8" s="2"/>
      <c r="I8" s="2"/>
      <c r="J8" s="2"/>
      <c r="K8" s="2"/>
      <c r="L8" s="22"/>
      <c r="M8" s="22"/>
      <c r="N8" s="22"/>
      <c r="O8" s="22"/>
      <c r="P8" s="22"/>
      <c r="Q8" s="22"/>
      <c r="R8" s="22"/>
      <c r="S8" s="22"/>
      <c r="T8" s="22"/>
    </row>
    <row r="9" spans="1:20" x14ac:dyDescent="0.25">
      <c r="A9" s="22"/>
      <c r="B9" s="22"/>
      <c r="C9" s="2"/>
      <c r="D9" s="2"/>
      <c r="E9" s="3" t="s">
        <v>1</v>
      </c>
      <c r="F9" s="2"/>
      <c r="G9" s="3" t="s">
        <v>2</v>
      </c>
      <c r="H9" s="2"/>
      <c r="I9" s="2"/>
      <c r="J9" s="2"/>
      <c r="K9" s="2"/>
      <c r="L9" s="22"/>
      <c r="M9" s="22"/>
      <c r="N9" s="15" t="s">
        <v>12</v>
      </c>
      <c r="O9" t="s">
        <v>11</v>
      </c>
      <c r="P9" s="22"/>
      <c r="Q9" s="22"/>
      <c r="R9" s="22"/>
      <c r="S9" s="22"/>
      <c r="T9" s="22"/>
    </row>
    <row r="10" spans="1:20" x14ac:dyDescent="0.25">
      <c r="A10" s="22"/>
      <c r="B10" s="22"/>
      <c r="C10" s="2"/>
      <c r="D10" s="2"/>
      <c r="E10" s="13"/>
      <c r="F10" s="2"/>
      <c r="G10" s="13"/>
      <c r="H10" s="2"/>
      <c r="I10" s="2"/>
      <c r="J10" s="2"/>
      <c r="K10" s="2"/>
      <c r="L10" s="22"/>
      <c r="M10" s="22"/>
      <c r="P10" s="22"/>
      <c r="Q10" s="22"/>
      <c r="R10" s="22"/>
      <c r="S10" s="22"/>
      <c r="T10" s="22"/>
    </row>
    <row r="11" spans="1:20" x14ac:dyDescent="0.25">
      <c r="A11" s="22"/>
      <c r="B11" s="22"/>
      <c r="C11" s="2"/>
      <c r="D11" s="2"/>
      <c r="E11" s="2"/>
      <c r="F11" s="2"/>
      <c r="G11" s="2"/>
      <c r="H11" s="2"/>
      <c r="I11" s="2"/>
      <c r="J11" s="2"/>
      <c r="K11" s="2"/>
      <c r="L11" s="22"/>
      <c r="M11" s="22"/>
      <c r="O11" t="s">
        <v>17</v>
      </c>
      <c r="P11" s="22"/>
      <c r="Q11" s="22"/>
      <c r="R11" s="22"/>
      <c r="S11" s="22"/>
      <c r="T11" s="22"/>
    </row>
    <row r="12" spans="1:20" x14ac:dyDescent="0.25">
      <c r="A12" s="22"/>
      <c r="B12" s="22"/>
      <c r="C12" s="2"/>
      <c r="D12" s="2"/>
      <c r="E12" s="2"/>
      <c r="F12" s="2"/>
      <c r="G12" s="2"/>
      <c r="H12" s="2"/>
      <c r="I12" s="2"/>
      <c r="J12" s="2"/>
      <c r="K12" s="2"/>
      <c r="L12" s="22"/>
      <c r="M12" s="22"/>
      <c r="N12" s="16" t="s">
        <v>7</v>
      </c>
      <c r="O12" s="19">
        <v>16.000000000000114</v>
      </c>
      <c r="P12" s="22"/>
      <c r="Q12" s="22"/>
      <c r="R12" s="22"/>
      <c r="S12" s="22"/>
      <c r="T12" s="22"/>
    </row>
    <row r="13" spans="1:20" x14ac:dyDescent="0.25">
      <c r="A13" s="22"/>
      <c r="B13" s="22"/>
      <c r="C13" s="2"/>
      <c r="D13" s="2"/>
      <c r="E13" s="2"/>
      <c r="F13" s="2"/>
      <c r="G13" s="2"/>
      <c r="H13" s="2"/>
      <c r="I13" s="2"/>
      <c r="J13" s="2"/>
      <c r="K13" s="2"/>
      <c r="L13" s="22"/>
      <c r="M13" s="22"/>
      <c r="N13" s="17">
        <v>45575</v>
      </c>
      <c r="O13" s="19">
        <v>16.000000000000114</v>
      </c>
      <c r="P13" s="22"/>
      <c r="Q13" s="22"/>
      <c r="R13" s="22"/>
      <c r="S13" s="22"/>
      <c r="T13" s="22"/>
    </row>
    <row r="14" spans="1:20" ht="15.75" x14ac:dyDescent="0.25">
      <c r="A14" s="22"/>
      <c r="B14" s="22"/>
      <c r="C14" s="2"/>
      <c r="D14" s="2"/>
      <c r="E14" s="2"/>
      <c r="F14" s="26" t="s">
        <v>22</v>
      </c>
      <c r="G14" s="26"/>
      <c r="H14" s="26"/>
      <c r="I14" s="2"/>
      <c r="J14" s="2"/>
      <c r="K14" s="2"/>
      <c r="L14" s="22"/>
      <c r="M14" s="22"/>
      <c r="N14" s="16" t="s">
        <v>6</v>
      </c>
      <c r="O14" s="19">
        <v>35.999999999999851</v>
      </c>
      <c r="P14" s="22"/>
      <c r="Q14" s="22"/>
      <c r="R14" s="22"/>
      <c r="S14" s="22"/>
      <c r="T14" s="22"/>
    </row>
    <row r="15" spans="1:20" x14ac:dyDescent="0.25">
      <c r="A15" s="22"/>
      <c r="B15" s="22"/>
      <c r="C15" s="2"/>
      <c r="D15" s="2"/>
      <c r="E15" s="2"/>
      <c r="F15" s="2"/>
      <c r="G15" s="2"/>
      <c r="H15" s="2"/>
      <c r="I15" s="2"/>
      <c r="J15" s="2"/>
      <c r="K15" s="2"/>
      <c r="L15" s="22"/>
      <c r="M15" s="22"/>
      <c r="N15" s="17">
        <v>45577</v>
      </c>
      <c r="O15" s="19">
        <v>35.999999999999851</v>
      </c>
      <c r="P15" s="22"/>
      <c r="Q15" s="22"/>
      <c r="R15" s="22"/>
      <c r="S15" s="22"/>
      <c r="T15" s="22"/>
    </row>
    <row r="16" spans="1:20" x14ac:dyDescent="0.25">
      <c r="A16" s="23"/>
      <c r="B16" s="22"/>
      <c r="C16" s="2"/>
      <c r="D16" s="2"/>
      <c r="E16" s="3" t="s">
        <v>3</v>
      </c>
      <c r="F16" s="2"/>
      <c r="G16" s="3" t="s">
        <v>10</v>
      </c>
      <c r="H16" s="2"/>
      <c r="I16" s="3" t="s">
        <v>12</v>
      </c>
      <c r="J16" s="2"/>
      <c r="K16" s="2"/>
      <c r="L16" s="22"/>
      <c r="M16" s="22"/>
      <c r="N16" s="16" t="s">
        <v>16</v>
      </c>
      <c r="O16" s="19">
        <v>51.999999999999964</v>
      </c>
      <c r="P16" s="22"/>
      <c r="Q16" s="22"/>
      <c r="R16" s="22"/>
      <c r="S16" s="22"/>
      <c r="T16" s="22"/>
    </row>
    <row r="17" spans="1:20" x14ac:dyDescent="0.25">
      <c r="A17" s="22"/>
      <c r="B17" s="22"/>
      <c r="C17" s="2"/>
      <c r="D17" s="2"/>
      <c r="E17" s="12"/>
      <c r="F17" s="2"/>
      <c r="G17" s="14"/>
      <c r="H17" s="2"/>
      <c r="I17" s="12"/>
      <c r="J17" s="2"/>
      <c r="K17" s="2"/>
      <c r="L17" s="22"/>
      <c r="M17" s="22"/>
      <c r="P17" s="22"/>
      <c r="Q17" s="22"/>
      <c r="R17" s="22"/>
      <c r="S17" s="22"/>
      <c r="T17" s="22"/>
    </row>
    <row r="18" spans="1:20" x14ac:dyDescent="0.25">
      <c r="A18" s="22"/>
      <c r="B18" s="22"/>
      <c r="C18" s="2"/>
      <c r="D18" s="2"/>
      <c r="E18" s="2"/>
      <c r="F18" s="2"/>
      <c r="G18" s="2"/>
      <c r="H18" s="2"/>
      <c r="I18" s="2"/>
      <c r="J18" s="2"/>
      <c r="K18" s="2"/>
      <c r="L18" s="22"/>
      <c r="M18" s="22"/>
      <c r="N18" s="22"/>
      <c r="O18" s="22"/>
      <c r="P18" s="22"/>
      <c r="Q18" s="22"/>
      <c r="R18" s="22"/>
      <c r="S18" s="22"/>
      <c r="T18" s="22"/>
    </row>
    <row r="19" spans="1:20" x14ac:dyDescent="0.25">
      <c r="A19" s="22"/>
      <c r="B19" s="22"/>
      <c r="C19" s="2"/>
      <c r="D19" s="2"/>
      <c r="E19" s="2"/>
      <c r="F19" s="2"/>
      <c r="G19" s="2"/>
      <c r="H19" s="2"/>
      <c r="I19" s="2"/>
      <c r="J19" s="2"/>
      <c r="K19" s="2"/>
      <c r="L19" s="22"/>
      <c r="M19" s="22"/>
      <c r="N19" s="22"/>
      <c r="O19" s="22"/>
      <c r="P19" s="22"/>
      <c r="Q19" s="22"/>
      <c r="R19" s="22"/>
      <c r="S19" s="22"/>
      <c r="T19" s="22"/>
    </row>
    <row r="20" spans="1:20" x14ac:dyDescent="0.25">
      <c r="A20" s="22"/>
      <c r="B20" s="22"/>
      <c r="C20" s="2"/>
      <c r="D20" s="2"/>
      <c r="E20" s="2"/>
      <c r="F20" s="2"/>
      <c r="G20" s="2"/>
      <c r="H20" s="2"/>
      <c r="I20" s="2"/>
      <c r="J20" s="2"/>
      <c r="K20" s="2"/>
      <c r="L20" s="22"/>
      <c r="M20" s="22"/>
      <c r="N20" s="22"/>
      <c r="O20" s="22"/>
      <c r="P20" s="22"/>
      <c r="Q20" s="22"/>
      <c r="R20" s="22"/>
      <c r="S20" s="22"/>
      <c r="T20" s="22"/>
    </row>
    <row r="21" spans="1:20" x14ac:dyDescent="0.25">
      <c r="A21" s="22"/>
      <c r="B21" s="22"/>
      <c r="C21" s="2"/>
      <c r="D21" s="2"/>
      <c r="E21" s="2"/>
      <c r="F21" s="2"/>
      <c r="G21" s="2"/>
      <c r="H21" s="2"/>
      <c r="I21" s="2"/>
      <c r="J21" s="2"/>
      <c r="K21" s="2"/>
      <c r="L21" s="22"/>
      <c r="M21" s="22"/>
      <c r="N21" s="22"/>
      <c r="O21" s="22"/>
      <c r="P21" s="22"/>
      <c r="Q21" s="22"/>
      <c r="R21" s="22"/>
      <c r="S21" s="22"/>
      <c r="T21" s="22"/>
    </row>
    <row r="22" spans="1:20" x14ac:dyDescent="0.25">
      <c r="A22" s="22"/>
      <c r="B22" s="22"/>
      <c r="C22" s="2"/>
      <c r="D22" s="2"/>
      <c r="E22" s="2"/>
      <c r="F22" s="2"/>
      <c r="G22" s="2"/>
      <c r="H22" s="2"/>
      <c r="I22" s="2"/>
      <c r="J22" s="2"/>
      <c r="K22" s="2"/>
      <c r="L22" s="22"/>
      <c r="M22" s="22"/>
      <c r="N22" s="22"/>
      <c r="O22" s="22"/>
      <c r="P22" s="22"/>
      <c r="Q22" s="22"/>
      <c r="R22" s="22"/>
      <c r="S22" s="22"/>
      <c r="T22" s="22"/>
    </row>
    <row r="23" spans="1:20" ht="15.75" x14ac:dyDescent="0.25">
      <c r="A23" s="22"/>
      <c r="B23" s="22"/>
      <c r="C23" s="2"/>
      <c r="D23" s="2"/>
      <c r="E23" s="2"/>
      <c r="F23" s="2"/>
      <c r="G23" s="25" t="s">
        <v>23</v>
      </c>
      <c r="H23" s="2"/>
      <c r="I23" s="2"/>
      <c r="J23" s="2"/>
      <c r="K23" s="2"/>
      <c r="L23" s="22"/>
      <c r="M23" s="22"/>
      <c r="N23" s="22"/>
      <c r="O23" s="22"/>
      <c r="P23" s="22"/>
      <c r="Q23" s="22"/>
      <c r="R23" s="22"/>
      <c r="S23" s="22"/>
      <c r="T23" s="22"/>
    </row>
    <row r="24" spans="1:20" x14ac:dyDescent="0.25">
      <c r="A24" s="22"/>
      <c r="B24" s="22"/>
      <c r="C24" s="2"/>
      <c r="D24" s="2"/>
      <c r="E24" s="2"/>
      <c r="F24" s="2"/>
      <c r="G24" s="2"/>
      <c r="H24" s="2"/>
      <c r="I24" s="2"/>
      <c r="J24" s="2"/>
      <c r="K24" s="2"/>
      <c r="L24" s="22"/>
      <c r="M24" s="22"/>
      <c r="N24" s="22"/>
      <c r="O24" s="22"/>
      <c r="P24" s="22"/>
      <c r="Q24" s="22"/>
      <c r="R24" s="22"/>
      <c r="S24" s="22"/>
      <c r="T24" s="22"/>
    </row>
    <row r="25" spans="1:20" x14ac:dyDescent="0.25">
      <c r="A25" s="22"/>
      <c r="B25" s="22"/>
      <c r="C25" s="2"/>
      <c r="D25" s="2"/>
      <c r="E25" s="3" t="s">
        <v>3</v>
      </c>
      <c r="F25" s="2"/>
      <c r="G25" s="3" t="s">
        <v>10</v>
      </c>
      <c r="H25" s="2"/>
      <c r="I25" s="2"/>
      <c r="J25" s="2"/>
      <c r="K25" s="2"/>
      <c r="L25" s="22"/>
      <c r="M25" s="22"/>
      <c r="N25" s="22"/>
      <c r="O25" s="22"/>
      <c r="P25" s="22"/>
      <c r="Q25" s="22"/>
      <c r="R25" s="22"/>
      <c r="S25" s="22"/>
      <c r="T25" s="22"/>
    </row>
    <row r="26" spans="1:20" x14ac:dyDescent="0.25">
      <c r="A26" s="22"/>
      <c r="B26" s="22"/>
      <c r="C26" s="2"/>
      <c r="D26" s="2"/>
      <c r="E26" s="12"/>
      <c r="F26" s="2"/>
      <c r="G26" s="14"/>
      <c r="H26" s="2"/>
      <c r="I26" s="2"/>
      <c r="J26" s="2"/>
      <c r="K26" s="2"/>
      <c r="L26" s="22"/>
      <c r="M26" s="22"/>
      <c r="N26" s="22"/>
      <c r="O26" s="22"/>
      <c r="P26" s="22"/>
      <c r="Q26" s="22"/>
      <c r="R26" s="22"/>
      <c r="S26" s="22"/>
      <c r="T26" s="22"/>
    </row>
    <row r="27" spans="1:20" x14ac:dyDescent="0.25">
      <c r="A27" s="22"/>
      <c r="B27" s="22"/>
      <c r="C27" s="2"/>
      <c r="D27" s="2"/>
      <c r="E27" s="2"/>
      <c r="F27" s="2"/>
      <c r="G27" s="2"/>
      <c r="H27" s="2"/>
      <c r="I27" s="2"/>
      <c r="J27" s="2"/>
      <c r="K27" s="2"/>
      <c r="L27" s="22"/>
      <c r="M27" s="22"/>
      <c r="N27" s="22"/>
      <c r="O27" s="22"/>
      <c r="P27" s="22"/>
      <c r="Q27" s="22"/>
      <c r="R27" s="22"/>
      <c r="S27" s="22"/>
      <c r="T27" s="22"/>
    </row>
    <row r="28" spans="1:20" x14ac:dyDescent="0.25">
      <c r="A28" s="22"/>
      <c r="B28" s="22"/>
      <c r="C28" s="2"/>
      <c r="D28" s="2"/>
      <c r="E28" s="2"/>
      <c r="F28" s="2"/>
      <c r="G28" s="2"/>
      <c r="H28" s="2"/>
      <c r="I28" s="2"/>
      <c r="J28" s="2"/>
      <c r="K28" s="2"/>
      <c r="L28" s="22"/>
      <c r="M28" s="22"/>
      <c r="N28" s="22"/>
      <c r="O28" s="22"/>
      <c r="P28" s="22"/>
      <c r="Q28" s="22"/>
      <c r="R28" s="22"/>
      <c r="S28" s="22"/>
      <c r="T28" s="22"/>
    </row>
    <row r="29" spans="1:20" x14ac:dyDescent="0.25">
      <c r="A29" s="22"/>
      <c r="B29" s="22"/>
      <c r="C29" s="2"/>
      <c r="D29" s="2"/>
      <c r="E29" s="2"/>
      <c r="F29" s="2"/>
      <c r="G29" s="2"/>
      <c r="H29" s="2"/>
      <c r="I29" s="2"/>
      <c r="J29" s="2"/>
      <c r="K29" s="2"/>
      <c r="L29" s="22"/>
      <c r="M29" s="22"/>
      <c r="N29" s="22"/>
      <c r="O29" s="22"/>
      <c r="P29" s="22"/>
      <c r="Q29" s="22"/>
      <c r="R29" s="22"/>
      <c r="S29" s="22"/>
      <c r="T29" s="22"/>
    </row>
    <row r="30" spans="1:20" x14ac:dyDescent="0.25">
      <c r="A30" s="22"/>
      <c r="B30" s="22"/>
      <c r="C30" s="2"/>
      <c r="D30" s="2"/>
      <c r="E30" s="2"/>
      <c r="F30" s="2"/>
      <c r="G30" s="2"/>
      <c r="H30" s="2"/>
      <c r="I30" s="2"/>
      <c r="J30" s="2"/>
      <c r="K30" s="2"/>
      <c r="L30" s="22"/>
      <c r="M30" s="22"/>
      <c r="N30" s="22"/>
      <c r="O30" s="22"/>
      <c r="P30" s="22"/>
      <c r="Q30" s="22"/>
      <c r="R30" s="22"/>
      <c r="S30" s="22"/>
      <c r="T30" s="22"/>
    </row>
    <row r="31" spans="1:20" x14ac:dyDescent="0.25">
      <c r="A31" s="22"/>
      <c r="B31" s="22"/>
      <c r="C31" s="2"/>
      <c r="D31" s="2"/>
      <c r="E31" s="2"/>
      <c r="F31" s="2"/>
      <c r="G31" s="2"/>
      <c r="H31" s="2"/>
      <c r="I31" s="2"/>
      <c r="J31" s="2"/>
      <c r="K31" s="2"/>
      <c r="L31" s="22"/>
      <c r="M31" s="22"/>
      <c r="N31" s="22"/>
      <c r="O31" s="22"/>
      <c r="P31" s="22"/>
      <c r="Q31" s="22"/>
      <c r="R31" s="22"/>
      <c r="S31" s="22"/>
      <c r="T31" s="22"/>
    </row>
    <row r="32" spans="1:20" x14ac:dyDescent="0.25">
      <c r="A32" s="22"/>
      <c r="B32" s="22"/>
      <c r="C32" s="2"/>
      <c r="D32" s="2"/>
      <c r="E32" s="2"/>
      <c r="F32" s="2"/>
      <c r="G32" s="2"/>
      <c r="H32" s="2"/>
      <c r="I32" s="2"/>
      <c r="J32" s="2"/>
      <c r="K32" s="2"/>
      <c r="L32" s="22"/>
      <c r="M32" s="22"/>
      <c r="N32" s="22"/>
      <c r="O32" s="22"/>
      <c r="P32" s="22"/>
      <c r="Q32" s="22"/>
      <c r="R32" s="22"/>
      <c r="S32" s="22"/>
      <c r="T32" s="22"/>
    </row>
    <row r="33" spans="1:20" x14ac:dyDescent="0.25">
      <c r="A33" s="22"/>
      <c r="B33" s="22"/>
      <c r="C33" s="2"/>
      <c r="D33" s="2"/>
      <c r="E33" s="2"/>
      <c r="F33" s="2"/>
      <c r="G33" s="2"/>
      <c r="H33" s="2"/>
      <c r="I33" s="2"/>
      <c r="J33" s="2"/>
      <c r="K33" s="2"/>
      <c r="L33" s="22"/>
      <c r="M33" s="22"/>
      <c r="N33" s="22"/>
      <c r="O33" s="22"/>
      <c r="P33" s="22"/>
      <c r="Q33" s="22"/>
      <c r="R33" s="22"/>
      <c r="S33" s="22"/>
      <c r="T33" s="22"/>
    </row>
    <row r="34" spans="1:20" x14ac:dyDescent="0.25">
      <c r="A34" s="22"/>
      <c r="B34" s="22"/>
      <c r="C34" s="2"/>
      <c r="D34" s="2"/>
      <c r="E34" s="2"/>
      <c r="F34" s="2"/>
      <c r="G34" s="2"/>
      <c r="H34" s="2"/>
      <c r="I34" s="2"/>
      <c r="J34" s="2"/>
      <c r="K34" s="2"/>
      <c r="L34" s="22"/>
      <c r="M34" s="22"/>
      <c r="N34" s="22"/>
      <c r="O34" s="22"/>
      <c r="P34" s="22"/>
      <c r="Q34" s="22"/>
      <c r="R34" s="22"/>
      <c r="S34" s="22"/>
      <c r="T34" s="22"/>
    </row>
    <row r="35" spans="1:20" x14ac:dyDescent="0.25">
      <c r="A35" s="20"/>
      <c r="B35" s="20"/>
      <c r="C35" s="2"/>
      <c r="D35" s="2"/>
      <c r="E35" s="2"/>
      <c r="F35" s="2"/>
      <c r="G35" s="2"/>
      <c r="H35" s="2"/>
      <c r="I35" s="2"/>
      <c r="J35" s="2"/>
      <c r="K35" s="2"/>
      <c r="L35" s="22"/>
      <c r="M35" s="22"/>
      <c r="N35" s="22"/>
      <c r="O35" s="22"/>
      <c r="P35" s="22"/>
      <c r="Q35" s="22"/>
      <c r="R35" s="22"/>
      <c r="S35" s="22"/>
      <c r="T35" s="22"/>
    </row>
    <row r="36" spans="1:20" x14ac:dyDescent="0.25">
      <c r="A36" s="20"/>
      <c r="B36" s="20"/>
    </row>
    <row r="37" spans="1:20" x14ac:dyDescent="0.25">
      <c r="A37" s="20"/>
      <c r="B37" s="20"/>
    </row>
    <row r="38" spans="1:20" x14ac:dyDescent="0.25">
      <c r="A38" s="20"/>
      <c r="B38" s="20"/>
    </row>
    <row r="39" spans="1:20" x14ac:dyDescent="0.25">
      <c r="A39" s="20"/>
      <c r="B39" s="20"/>
    </row>
    <row r="40" spans="1:20" x14ac:dyDescent="0.25">
      <c r="A40" s="21"/>
      <c r="B40" s="21"/>
    </row>
  </sheetData>
  <dataConsolidate/>
  <mergeCells count="1">
    <mergeCell ref="F14:H14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lete">
                <anchor moveWithCells="1">
                  <from>
                    <xdr:col>9</xdr:col>
                    <xdr:colOff>342900</xdr:colOff>
                    <xdr:row>24</xdr:row>
                    <xdr:rowOff>161925</xdr:rowOff>
                  </from>
                  <to>
                    <xdr:col>10</xdr:col>
                    <xdr:colOff>257175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_xludf.Clear">
                <anchor moveWithCells="1">
                  <from>
                    <xdr:col>8</xdr:col>
                    <xdr:colOff>581025</xdr:colOff>
                    <xdr:row>0</xdr:row>
                    <xdr:rowOff>114300</xdr:rowOff>
                  </from>
                  <to>
                    <xdr:col>10</xdr:col>
                    <xdr:colOff>342900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F14AADD-F601-41DD-96CB-6C31CED73115}">
          <x14:formula1>
            <xm:f>Prices!$H$2:$H$54</xm:f>
          </x14:formula1>
          <xm:sqref>E10 G10</xm:sqref>
        </x14:dataValidation>
        <x14:dataValidation type="list" allowBlank="1" showInputMessage="1" showErrorMessage="1" xr:uid="{BD1E77E7-6791-4331-B060-77A483EA9D28}">
          <x14:formula1>
            <xm:f>Prices!$A$2:$A$4</xm:f>
          </x14:formula1>
          <xm:sqref>E7 E17 E26</xm:sqref>
        </x14:dataValidation>
        <x14:dataValidation type="list" allowBlank="1" showInputMessage="1" showErrorMessage="1" xr:uid="{B6122AF8-3525-4831-A001-092610C04660}">
          <x14:formula1>
            <xm:f>Prices!$F$2:$F$3</xm:f>
          </x14:formula1>
          <xm:sqref>I7 I17</xm:sqref>
        </x14:dataValidation>
        <x14:dataValidation type="list" allowBlank="1" showInputMessage="1" showErrorMessage="1" xr:uid="{946611F6-8871-4EEF-9948-072BBACF65F7}">
          <x14:formula1>
            <xm:f>Prices!$M:$M</xm:f>
          </x14:formula1>
          <xm:sqref>G17</xm:sqref>
        </x14:dataValidation>
        <x14:dataValidation type="list" allowBlank="1" showInputMessage="1" showErrorMessage="1" xr:uid="{FCDB198E-0E27-4496-BA71-A608E18CB3D1}">
          <x14:formula1>
            <xm:f>Prices!$O:$O</xm:f>
          </x14:formula1>
          <xm:sqref>G26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2C0EC-F2B0-4DE8-8223-31BB622753F5}">
  <sheetPr codeName="Sheet2"/>
  <dimension ref="A1:G4"/>
  <sheetViews>
    <sheetView workbookViewId="0">
      <selection activeCell="A2" sqref="A2"/>
    </sheetView>
  </sheetViews>
  <sheetFormatPr defaultRowHeight="15" x14ac:dyDescent="0.25"/>
  <cols>
    <col min="1" max="1" width="15.7109375" style="5" customWidth="1"/>
    <col min="2" max="2" width="15.7109375" style="9" customWidth="1"/>
    <col min="3" max="4" width="15.7109375" style="7" customWidth="1"/>
    <col min="5" max="5" width="15.7109375" style="8" customWidth="1"/>
    <col min="6" max="6" width="15.7109375" style="10" customWidth="1"/>
    <col min="7" max="7" width="19" style="8" bestFit="1" customWidth="1"/>
    <col min="8" max="16384" width="9.140625" style="8"/>
  </cols>
  <sheetData>
    <row r="1" spans="1:7" x14ac:dyDescent="0.25">
      <c r="A1" s="5" t="s">
        <v>3</v>
      </c>
      <c r="B1" s="6" t="s">
        <v>0</v>
      </c>
      <c r="C1" s="7" t="s">
        <v>1</v>
      </c>
      <c r="D1" s="7" t="s">
        <v>2</v>
      </c>
      <c r="E1" s="8" t="s">
        <v>12</v>
      </c>
      <c r="F1" s="10" t="s">
        <v>9</v>
      </c>
      <c r="G1" s="8" t="s">
        <v>18</v>
      </c>
    </row>
    <row r="2" spans="1:7" x14ac:dyDescent="0.25">
      <c r="A2" s="5" t="s">
        <v>6</v>
      </c>
      <c r="B2" s="6">
        <v>45577</v>
      </c>
      <c r="C2" s="11">
        <v>0.41666666666666702</v>
      </c>
      <c r="D2" s="11">
        <v>0.5</v>
      </c>
      <c r="E2" s="8" t="s">
        <v>11</v>
      </c>
      <c r="F2" s="10">
        <f>VLOOKUP(DataTable[[#This Row],[Student]],PricesTable[#All],2,FALSE)*(DataTable[[#This Row],[End time]]-DataTable[[#This Row],[Start time]])*24</f>
        <v>35.999999999999851</v>
      </c>
      <c r="G2" s="8" t="str">
        <f>DataTable[[#This Row],[Student]]&amp;"/"&amp;DataTable[[#This Row],[Class'' date]]</f>
        <v>Victor/45577</v>
      </c>
    </row>
    <row r="3" spans="1:7" x14ac:dyDescent="0.25">
      <c r="A3" s="5" t="s">
        <v>7</v>
      </c>
      <c r="B3" s="6">
        <v>45575</v>
      </c>
      <c r="C3" s="11">
        <v>0.80208333333333404</v>
      </c>
      <c r="D3" s="11">
        <v>0.843750000000001</v>
      </c>
      <c r="E3" s="8" t="s">
        <v>11</v>
      </c>
      <c r="F3" s="10">
        <f>VLOOKUP(DataTable[[#This Row],[Student]],PricesTable[#All],2,FALSE)*(DataTable[[#This Row],[End time]]-DataTable[[#This Row],[Start time]])*24</f>
        <v>16.000000000000114</v>
      </c>
      <c r="G3" s="8" t="str">
        <f>DataTable[[#This Row],[Student]]&amp;"/"&amp;DataTable[[#This Row],[Class'' date]]</f>
        <v>Juan/45575</v>
      </c>
    </row>
    <row r="4" spans="1:7" x14ac:dyDescent="0.25">
      <c r="C4" s="8"/>
      <c r="D4" s="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47991-9A0E-4F0D-BDB2-119A37147AEE}">
  <sheetPr codeName="Sheet3"/>
  <dimension ref="A1:O54"/>
  <sheetViews>
    <sheetView workbookViewId="0">
      <selection activeCell="F8" sqref="F8"/>
    </sheetView>
  </sheetViews>
  <sheetFormatPr defaultRowHeight="15" x14ac:dyDescent="0.25"/>
  <cols>
    <col min="1" max="1" width="9.140625" style="4"/>
    <col min="10" max="10" width="11.140625" bestFit="1" customWidth="1"/>
    <col min="11" max="11" width="23.7109375" bestFit="1" customWidth="1"/>
    <col min="13" max="13" width="10.42578125" style="18" bestFit="1" customWidth="1"/>
    <col min="15" max="15" width="10.42578125" style="18" bestFit="1" customWidth="1"/>
  </cols>
  <sheetData>
    <row r="1" spans="1:15" x14ac:dyDescent="0.25">
      <c r="A1" s="4" t="s">
        <v>4</v>
      </c>
      <c r="B1" t="s">
        <v>5</v>
      </c>
      <c r="F1" t="s">
        <v>13</v>
      </c>
      <c r="H1" t="s">
        <v>15</v>
      </c>
      <c r="K1" s="2" t="s">
        <v>19</v>
      </c>
      <c r="M1" s="18" t="e" cm="1" vm="1">
        <f t="array" ref="M1">_xlfn._xlws.FILTER(DataTable[Class'' date],DataTable[Student]=Home!E17)</f>
        <v>#VALUE!</v>
      </c>
      <c r="O1" s="18" t="e" cm="1" vm="1">
        <f t="array" ref="O1">_xlfn._xlws.FILTER(DataTable[Class'' date],DataTable[Student]=Home!E26)</f>
        <v>#VALUE!</v>
      </c>
    </row>
    <row r="2" spans="1:15" x14ac:dyDescent="0.25">
      <c r="A2" s="4" t="s">
        <v>6</v>
      </c>
      <c r="B2">
        <v>18</v>
      </c>
      <c r="F2" t="s">
        <v>14</v>
      </c>
      <c r="H2" s="1">
        <v>0.375</v>
      </c>
      <c r="K2" t="e">
        <f>_xlfn.XMATCH(Home!E17&amp;"/"&amp;Home!G17,DataTable[Search help column])+1</f>
        <v>#N/A</v>
      </c>
    </row>
    <row r="3" spans="1:15" x14ac:dyDescent="0.25">
      <c r="A3" s="4" t="s">
        <v>7</v>
      </c>
      <c r="B3">
        <v>16</v>
      </c>
      <c r="F3" t="s">
        <v>11</v>
      </c>
      <c r="H3" s="1">
        <v>0.38541666666666669</v>
      </c>
    </row>
    <row r="4" spans="1:15" x14ac:dyDescent="0.25">
      <c r="A4" s="4" t="s">
        <v>8</v>
      </c>
      <c r="B4">
        <v>20</v>
      </c>
      <c r="H4" s="1">
        <v>0.39583333333333298</v>
      </c>
      <c r="K4" s="2" t="s">
        <v>20</v>
      </c>
    </row>
    <row r="5" spans="1:15" x14ac:dyDescent="0.25">
      <c r="H5" s="1">
        <v>0.40625</v>
      </c>
      <c r="K5" t="e">
        <f>_xlfn.XMATCH(Home!E26&amp;"/"&amp;Home!G26,DataTable[Search help column])+1</f>
        <v>#N/A</v>
      </c>
    </row>
    <row r="6" spans="1:15" x14ac:dyDescent="0.25">
      <c r="H6" s="1">
        <v>0.41666666666666702</v>
      </c>
    </row>
    <row r="7" spans="1:15" x14ac:dyDescent="0.25">
      <c r="H7" s="1">
        <v>0.42708333333333298</v>
      </c>
    </row>
    <row r="8" spans="1:15" x14ac:dyDescent="0.25">
      <c r="H8" s="1">
        <v>0.4375</v>
      </c>
    </row>
    <row r="9" spans="1:15" x14ac:dyDescent="0.25">
      <c r="H9" s="1">
        <v>0.44791666666666702</v>
      </c>
    </row>
    <row r="10" spans="1:15" x14ac:dyDescent="0.25">
      <c r="H10" s="1">
        <v>0.45833333333333298</v>
      </c>
    </row>
    <row r="11" spans="1:15" x14ac:dyDescent="0.25">
      <c r="H11" s="1">
        <v>0.46875</v>
      </c>
    </row>
    <row r="12" spans="1:15" x14ac:dyDescent="0.25">
      <c r="H12" s="1">
        <v>0.47916666666666702</v>
      </c>
    </row>
    <row r="13" spans="1:15" x14ac:dyDescent="0.25">
      <c r="H13" s="1">
        <v>0.48958333333333398</v>
      </c>
    </row>
    <row r="14" spans="1:15" x14ac:dyDescent="0.25">
      <c r="H14" s="1">
        <v>0.5</v>
      </c>
    </row>
    <row r="15" spans="1:15" x14ac:dyDescent="0.25">
      <c r="H15" s="1">
        <v>0.51041666666666696</v>
      </c>
    </row>
    <row r="16" spans="1:15" x14ac:dyDescent="0.25">
      <c r="H16" s="1">
        <v>0.52083333333333404</v>
      </c>
    </row>
    <row r="17" spans="8:8" x14ac:dyDescent="0.25">
      <c r="H17" s="1">
        <v>0.53125</v>
      </c>
    </row>
    <row r="18" spans="8:8" x14ac:dyDescent="0.25">
      <c r="H18" s="1">
        <v>0.54166666666666696</v>
      </c>
    </row>
    <row r="19" spans="8:8" x14ac:dyDescent="0.25">
      <c r="H19" s="1">
        <v>0.55208333333333404</v>
      </c>
    </row>
    <row r="20" spans="8:8" x14ac:dyDescent="0.25">
      <c r="H20" s="1">
        <v>0.5625</v>
      </c>
    </row>
    <row r="21" spans="8:8" x14ac:dyDescent="0.25">
      <c r="H21" s="1">
        <v>0.57291666666666696</v>
      </c>
    </row>
    <row r="22" spans="8:8" x14ac:dyDescent="0.25">
      <c r="H22" s="1">
        <v>0.58333333333333404</v>
      </c>
    </row>
    <row r="23" spans="8:8" x14ac:dyDescent="0.25">
      <c r="H23" s="1">
        <v>0.59375</v>
      </c>
    </row>
    <row r="24" spans="8:8" x14ac:dyDescent="0.25">
      <c r="H24" s="1">
        <v>0.60416666666666696</v>
      </c>
    </row>
    <row r="25" spans="8:8" x14ac:dyDescent="0.25">
      <c r="H25" s="1">
        <v>0.61458333333333404</v>
      </c>
    </row>
    <row r="26" spans="8:8" x14ac:dyDescent="0.25">
      <c r="H26" s="1">
        <v>0.625</v>
      </c>
    </row>
    <row r="27" spans="8:8" x14ac:dyDescent="0.25">
      <c r="H27" s="1">
        <v>0.63541666666666696</v>
      </c>
    </row>
    <row r="28" spans="8:8" x14ac:dyDescent="0.25">
      <c r="H28" s="1">
        <v>0.64583333333333404</v>
      </c>
    </row>
    <row r="29" spans="8:8" x14ac:dyDescent="0.25">
      <c r="H29" s="1">
        <v>0.65625</v>
      </c>
    </row>
    <row r="30" spans="8:8" x14ac:dyDescent="0.25">
      <c r="H30" s="1">
        <v>0.66666666666666696</v>
      </c>
    </row>
    <row r="31" spans="8:8" x14ac:dyDescent="0.25">
      <c r="H31" s="1">
        <v>0.67708333333333404</v>
      </c>
    </row>
    <row r="32" spans="8:8" x14ac:dyDescent="0.25">
      <c r="H32" s="1">
        <v>0.687500000000001</v>
      </c>
    </row>
    <row r="33" spans="8:8" x14ac:dyDescent="0.25">
      <c r="H33" s="1">
        <v>0.69791666666666696</v>
      </c>
    </row>
    <row r="34" spans="8:8" x14ac:dyDescent="0.25">
      <c r="H34" s="1">
        <v>0.70833333333333404</v>
      </c>
    </row>
    <row r="35" spans="8:8" x14ac:dyDescent="0.25">
      <c r="H35" s="1">
        <v>0.718750000000001</v>
      </c>
    </row>
    <row r="36" spans="8:8" x14ac:dyDescent="0.25">
      <c r="H36" s="1">
        <v>0.72916666666666696</v>
      </c>
    </row>
    <row r="37" spans="8:8" x14ac:dyDescent="0.25">
      <c r="H37" s="1">
        <v>0.73958333333333404</v>
      </c>
    </row>
    <row r="38" spans="8:8" x14ac:dyDescent="0.25">
      <c r="H38" s="1">
        <v>0.750000000000001</v>
      </c>
    </row>
    <row r="39" spans="8:8" x14ac:dyDescent="0.25">
      <c r="H39" s="1">
        <v>0.76041666666666696</v>
      </c>
    </row>
    <row r="40" spans="8:8" x14ac:dyDescent="0.25">
      <c r="H40" s="1">
        <v>0.77083333333333404</v>
      </c>
    </row>
    <row r="41" spans="8:8" x14ac:dyDescent="0.25">
      <c r="H41" s="1">
        <v>0.781250000000001</v>
      </c>
    </row>
    <row r="42" spans="8:8" x14ac:dyDescent="0.25">
      <c r="H42" s="1">
        <v>0.79166666666666696</v>
      </c>
    </row>
    <row r="43" spans="8:8" x14ac:dyDescent="0.25">
      <c r="H43" s="1">
        <v>0.80208333333333404</v>
      </c>
    </row>
    <row r="44" spans="8:8" x14ac:dyDescent="0.25">
      <c r="H44" s="1">
        <v>0.812500000000001</v>
      </c>
    </row>
    <row r="45" spans="8:8" x14ac:dyDescent="0.25">
      <c r="H45" s="1">
        <v>0.82291666666666696</v>
      </c>
    </row>
    <row r="46" spans="8:8" x14ac:dyDescent="0.25">
      <c r="H46" s="1">
        <v>0.83333333333333404</v>
      </c>
    </row>
    <row r="47" spans="8:8" x14ac:dyDescent="0.25">
      <c r="H47" s="1">
        <v>0.843750000000001</v>
      </c>
    </row>
    <row r="48" spans="8:8" x14ac:dyDescent="0.25">
      <c r="H48" s="1">
        <v>0.85416666666666796</v>
      </c>
    </row>
    <row r="49" spans="8:8" x14ac:dyDescent="0.25">
      <c r="H49" s="1">
        <v>0.86458333333333404</v>
      </c>
    </row>
    <row r="50" spans="8:8" x14ac:dyDescent="0.25">
      <c r="H50" s="1">
        <v>0.875000000000001</v>
      </c>
    </row>
    <row r="51" spans="8:8" x14ac:dyDescent="0.25">
      <c r="H51" s="1">
        <v>0.88541666666666796</v>
      </c>
    </row>
    <row r="52" spans="8:8" x14ac:dyDescent="0.25">
      <c r="H52" s="1">
        <v>0.89583333333333404</v>
      </c>
    </row>
    <row r="53" spans="8:8" x14ac:dyDescent="0.25">
      <c r="H53" s="1">
        <v>0.906250000000001</v>
      </c>
    </row>
    <row r="54" spans="8:8" x14ac:dyDescent="0.25">
      <c r="H54" s="1">
        <v>0.91666666666666796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Graphics</vt:lpstr>
      <vt:lpstr>Home</vt:lpstr>
      <vt:lpstr>Data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Garcia</dc:creator>
  <cp:lastModifiedBy>Miguel Garcia</cp:lastModifiedBy>
  <dcterms:created xsi:type="dcterms:W3CDTF">2024-10-08T09:59:45Z</dcterms:created>
  <dcterms:modified xsi:type="dcterms:W3CDTF">2024-10-10T16:55:47Z</dcterms:modified>
</cp:coreProperties>
</file>